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-Category Data" sheetId="1" state="visible" r:id="rId1"/>
    <sheet name="Category Reference" sheetId="2" state="visible" r:id="rId2"/>
    <sheet name="Revenue Pivot" sheetId="3" state="visible" r:id="rId3"/>
    <sheet name="KPI Summary" sheetId="4" state="visible" r:id="rId4"/>
  </sheets>
  <definedNames/>
  <calcPr calcId="124519" fullCalcOnLoad="1"/>
  <pivotCaches>
    <pivotCache cacheId="1" r:id="rId5"/>
  </pivotCaches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164" fontId="1" fillId="2" borderId="0" applyAlignment="1" pivotButton="0" quotePrefix="0" xfId="0">
      <alignment horizontal="center" wrapText="1"/>
    </xf>
    <xf numFmtId="164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0" createdVersion="6" refreshedVersion="6" minRefreshableVersion="3" recordCount="27" r:id="rId1">
  <cacheSource type="worksheet">
    <worksheetSource ref="A1:E28" sheet="City-Category Data"/>
  </cacheSource>
  <cacheFields count="5">
    <cacheField name="city" uniqueList="1" sqlType="0" hierarchy="0" level="0" databaseField="1">
      <sharedItems count="6" containsNumber="0" containsSemiMixedTypes="0" containsString="1">
        <s v="Bengaluru"/>
        <s v="Chennai"/>
        <s v="Delhi NCR"/>
        <s v="Hyderabad"/>
        <s v="Mumbai"/>
        <s v="Pune"/>
      </sharedItems>
    </cacheField>
    <cacheField name="category" uniqueList="1" sqlType="0" hierarchy="0" level="0" databaseField="1">
      <sharedItems count="6" containsNumber="0" containsSemiMixedTypes="0" containsString="1">
        <s v="AC Repair &amp; Service"/>
        <s v="Deep Home Cleaning"/>
        <s v="Electrical Repair"/>
        <s v="Plumbing"/>
        <s v="Salon for Men"/>
        <s v="Salon for Women"/>
      </sharedItems>
    </cacheField>
    <cacheField name="bookings_count" uniqueList="1" sqlType="0" hierarchy="0" level="0" databaseField="1">
      <sharedItems count="0" containsInteger="1" containsNumber="1" containsSemiMixedTypes="0" containsString="0"/>
    </cacheField>
    <cacheField name="revenue_inr" uniqueList="1" sqlType="0" hierarchy="0" level="0" databaseField="1">
      <sharedItems count="0" containsInteger="1" containsNumber="1" containsSemiMixedTypes="0" containsString="0"/>
    </cacheField>
    <cacheField name="sla_breaches" uniqueList="1" sqlType="0" hierarchy="0" level="0" databaseField="1">
      <sharedItems count="0" containsInteger="1" containsNumber="1" containsSemiMixedTypes="0" containsString="0"/>
    </cacheField>
  </cacheFields>
</pivotCacheDefinition>
</file>

<file path=xl/pivotCache/pivotCacheRecords1.xml><?xml version="1.0" encoding="utf-8"?>
<pivotCacheRecords xmlns="http://schemas.openxmlformats.org/spreadsheetml/2006/main" count="27">
  <r>
    <x v="0"/>
    <x v="0"/>
    <n v="40"/>
    <n v="61229"/>
    <n v="7"/>
  </r>
  <r>
    <x v="0"/>
    <x v="1"/>
    <n v="18"/>
    <n v="49592"/>
    <n v="2"/>
  </r>
  <r>
    <x v="0"/>
    <x v="2"/>
    <n v="19"/>
    <n v="23082"/>
    <n v="3"/>
  </r>
  <r>
    <x v="0"/>
    <x v="4"/>
    <n v="14"/>
    <n v="13565"/>
    <n v="3"/>
  </r>
  <r>
    <x v="0"/>
    <x v="5"/>
    <n v="16"/>
    <n v="32367"/>
    <n v="2"/>
  </r>
  <r>
    <x v="1"/>
    <x v="1"/>
    <n v="37"/>
    <n v="109499"/>
    <n v="5"/>
  </r>
  <r>
    <x v="1"/>
    <x v="2"/>
    <n v="13"/>
    <n v="13044"/>
    <n v="1"/>
  </r>
  <r>
    <x v="1"/>
    <x v="3"/>
    <n v="63"/>
    <n v="53029"/>
    <n v="9"/>
  </r>
  <r>
    <x v="2"/>
    <x v="0"/>
    <n v="14"/>
    <n v="22760"/>
    <n v="0"/>
  </r>
  <r>
    <x v="2"/>
    <x v="1"/>
    <n v="25"/>
    <n v="63041"/>
    <n v="0"/>
  </r>
  <r>
    <x v="2"/>
    <x v="2"/>
    <n v="12"/>
    <n v="12585"/>
    <n v="1"/>
  </r>
  <r>
    <x v="2"/>
    <x v="3"/>
    <n v="19"/>
    <n v="16065"/>
    <n v="3"/>
  </r>
  <r>
    <x v="2"/>
    <x v="5"/>
    <n v="13"/>
    <n v="26320"/>
    <n v="2"/>
  </r>
  <r>
    <x v="3"/>
    <x v="1"/>
    <n v="29"/>
    <n v="91425"/>
    <n v="4"/>
  </r>
  <r>
    <x v="3"/>
    <x v="2"/>
    <n v="27"/>
    <n v="29032"/>
    <n v="3"/>
  </r>
  <r>
    <x v="3"/>
    <x v="3"/>
    <n v="13"/>
    <n v="11743"/>
    <n v="1"/>
  </r>
  <r>
    <x v="3"/>
    <x v="4"/>
    <n v="23"/>
    <n v="22289"/>
    <n v="5"/>
  </r>
  <r>
    <x v="3"/>
    <x v="5"/>
    <n v="6"/>
    <n v="17149"/>
    <n v="1"/>
  </r>
  <r>
    <x v="4"/>
    <x v="0"/>
    <n v="20"/>
    <n v="29050"/>
    <n v="4"/>
  </r>
  <r>
    <x v="4"/>
    <x v="1"/>
    <n v="28"/>
    <n v="73938"/>
    <n v="1"/>
  </r>
  <r>
    <x v="4"/>
    <x v="2"/>
    <n v="11"/>
    <n v="11360"/>
    <n v="2"/>
  </r>
  <r>
    <x v="4"/>
    <x v="4"/>
    <n v="27"/>
    <n v="23901"/>
    <n v="5"/>
  </r>
  <r>
    <x v="4"/>
    <x v="5"/>
    <n v="6"/>
    <n v="13181"/>
    <n v="1"/>
  </r>
  <r>
    <x v="5"/>
    <x v="1"/>
    <n v="39"/>
    <n v="121469"/>
    <n v="9"/>
  </r>
  <r>
    <x v="5"/>
    <x v="2"/>
    <n v="30"/>
    <n v="30778"/>
    <n v="3"/>
  </r>
  <r>
    <x v="5"/>
    <x v="4"/>
    <n v="14"/>
    <n v="13808"/>
    <n v="1"/>
  </r>
  <r>
    <x v="5"/>
    <x v="5"/>
    <n v="24"/>
    <n v="62672"/>
    <n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RevenueByCityCategory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6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H12" firstHeaderRow="1" firstDataRow="2" firstDataCol="1" rowPageCount="0" colPageCount="0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2">
    <field x="1"/>
    <field x="-2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Sum of revenue_inr" fld="3" subtotal="sum" showDataAs="normal" baseField="-1" baseItem="1048832"/>
  </dataFields>
</pivotTableDefinition>
</file>

<file path=xl/tables/table1.xml><?xml version="1.0" encoding="utf-8"?>
<table xmlns="http://schemas.openxmlformats.org/spreadsheetml/2006/main" id="1" name="CityCategoryData" displayName="CityCategoryData" ref="A1:G28" headerRowCount="1">
  <autoFilter ref="A1:G28"/>
  <tableColumns count="7">
    <tableColumn id="1" name="city"/>
    <tableColumn id="2" name="category"/>
    <tableColumn id="3" name="bookings_count"/>
    <tableColumn id="4" name="revenue_inr"/>
    <tableColumn id="5" name="sla_breaches"/>
    <tableColumn id="6" name="min_price_inr"/>
    <tableColumn id="7" name="max_price_in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bookings_count</t>
        </is>
      </c>
      <c r="D1" s="2" t="inlineStr">
        <is>
          <t>revenue_inr</t>
        </is>
      </c>
      <c r="E1" s="1" t="inlineStr">
        <is>
          <t>sla_breaches</t>
        </is>
      </c>
      <c r="F1" s="1" t="inlineStr">
        <is>
          <t>min_price_inr</t>
        </is>
      </c>
      <c r="G1" s="1" t="inlineStr">
        <is>
          <t>max_price_inr</t>
        </is>
      </c>
    </row>
    <row r="2">
      <c r="A2" s="3" t="inlineStr">
        <is>
          <t>Bengaluru</t>
        </is>
      </c>
      <c r="B2" s="3" t="inlineStr">
        <is>
          <t>AC Repair &amp; Service</t>
        </is>
      </c>
      <c r="C2" s="3" t="n">
        <v>40</v>
      </c>
      <c r="D2" s="4" t="n">
        <v>61229</v>
      </c>
      <c r="E2" s="3" t="n">
        <v>7</v>
      </c>
      <c r="F2" s="3">
        <f>VLOOKUP(B2,'Category Reference'!$A$2:$C$7,2,FALSE)</f>
        <v/>
      </c>
      <c r="G2" s="3">
        <f>VLOOKUP(B2,'Category Reference'!$A$2:$C$7,3,FALSE)</f>
        <v/>
      </c>
    </row>
    <row r="3">
      <c r="A3" s="3" t="inlineStr">
        <is>
          <t>Bengaluru</t>
        </is>
      </c>
      <c r="B3" s="3" t="inlineStr">
        <is>
          <t>Deep Home Cleaning</t>
        </is>
      </c>
      <c r="C3" s="3" t="n">
        <v>18</v>
      </c>
      <c r="D3" s="4" t="n">
        <v>49592</v>
      </c>
      <c r="E3" s="3" t="n">
        <v>2</v>
      </c>
      <c r="F3" s="3">
        <f>VLOOKUP(B3,'Category Reference'!$A$2:$C$7,2,FALSE)</f>
        <v/>
      </c>
      <c r="G3" s="3">
        <f>VLOOKUP(B3,'Category Reference'!$A$2:$C$7,3,FALSE)</f>
        <v/>
      </c>
    </row>
    <row r="4">
      <c r="A4" s="3" t="inlineStr">
        <is>
          <t>Bengaluru</t>
        </is>
      </c>
      <c r="B4" s="3" t="inlineStr">
        <is>
          <t>Electrical Repair</t>
        </is>
      </c>
      <c r="C4" s="3" t="n">
        <v>19</v>
      </c>
      <c r="D4" s="4" t="n">
        <v>23082</v>
      </c>
      <c r="E4" s="3" t="n">
        <v>3</v>
      </c>
      <c r="F4" s="3">
        <f>VLOOKUP(B4,'Category Reference'!$A$2:$C$7,2,FALSE)</f>
        <v/>
      </c>
      <c r="G4" s="3">
        <f>VLOOKUP(B4,'Category Reference'!$A$2:$C$7,3,FALSE)</f>
        <v/>
      </c>
    </row>
    <row r="5">
      <c r="A5" s="3" t="inlineStr">
        <is>
          <t>Bengaluru</t>
        </is>
      </c>
      <c r="B5" s="3" t="inlineStr">
        <is>
          <t>Salon for Men</t>
        </is>
      </c>
      <c r="C5" s="3" t="n">
        <v>14</v>
      </c>
      <c r="D5" s="4" t="n">
        <v>13565</v>
      </c>
      <c r="E5" s="3" t="n">
        <v>3</v>
      </c>
      <c r="F5" s="3">
        <f>VLOOKUP(B5,'Category Reference'!$A$2:$C$7,2,FALSE)</f>
        <v/>
      </c>
      <c r="G5" s="3">
        <f>VLOOKUP(B5,'Category Reference'!$A$2:$C$7,3,FALSE)</f>
        <v/>
      </c>
    </row>
    <row r="6">
      <c r="A6" s="3" t="inlineStr">
        <is>
          <t>Bengaluru</t>
        </is>
      </c>
      <c r="B6" s="3" t="inlineStr">
        <is>
          <t>Salon for Women</t>
        </is>
      </c>
      <c r="C6" s="3" t="n">
        <v>16</v>
      </c>
      <c r="D6" s="4" t="n">
        <v>32367</v>
      </c>
      <c r="E6" s="3" t="n">
        <v>2</v>
      </c>
      <c r="F6" s="3">
        <f>VLOOKUP(B6,'Category Reference'!$A$2:$C$7,2,FALSE)</f>
        <v/>
      </c>
      <c r="G6" s="3">
        <f>VLOOKUP(B6,'Category Reference'!$A$2:$C$7,3,FALSE)</f>
        <v/>
      </c>
    </row>
    <row r="7">
      <c r="A7" s="3" t="inlineStr">
        <is>
          <t>Chennai</t>
        </is>
      </c>
      <c r="B7" s="3" t="inlineStr">
        <is>
          <t>Deep Home Cleaning</t>
        </is>
      </c>
      <c r="C7" s="3" t="n">
        <v>37</v>
      </c>
      <c r="D7" s="4" t="n">
        <v>109499</v>
      </c>
      <c r="E7" s="3" t="n">
        <v>5</v>
      </c>
      <c r="F7" s="3">
        <f>VLOOKUP(B7,'Category Reference'!$A$2:$C$7,2,FALSE)</f>
        <v/>
      </c>
      <c r="G7" s="3">
        <f>VLOOKUP(B7,'Category Reference'!$A$2:$C$7,3,FALSE)</f>
        <v/>
      </c>
    </row>
    <row r="8">
      <c r="A8" s="3" t="inlineStr">
        <is>
          <t>Chennai</t>
        </is>
      </c>
      <c r="B8" s="3" t="inlineStr">
        <is>
          <t>Electrical Repair</t>
        </is>
      </c>
      <c r="C8" s="3" t="n">
        <v>13</v>
      </c>
      <c r="D8" s="4" t="n">
        <v>13044</v>
      </c>
      <c r="E8" s="3" t="n">
        <v>1</v>
      </c>
      <c r="F8" s="3">
        <f>VLOOKUP(B8,'Category Reference'!$A$2:$C$7,2,FALSE)</f>
        <v/>
      </c>
      <c r="G8" s="3">
        <f>VLOOKUP(B8,'Category Reference'!$A$2:$C$7,3,FALSE)</f>
        <v/>
      </c>
    </row>
    <row r="9">
      <c r="A9" s="3" t="inlineStr">
        <is>
          <t>Chennai</t>
        </is>
      </c>
      <c r="B9" s="3" t="inlineStr">
        <is>
          <t>Plumbing</t>
        </is>
      </c>
      <c r="C9" s="3" t="n">
        <v>63</v>
      </c>
      <c r="D9" s="4" t="n">
        <v>53029</v>
      </c>
      <c r="E9" s="3" t="n">
        <v>9</v>
      </c>
      <c r="F9" s="3">
        <f>VLOOKUP(B9,'Category Reference'!$A$2:$C$7,2,FALSE)</f>
        <v/>
      </c>
      <c r="G9" s="3">
        <f>VLOOKUP(B9,'Category Reference'!$A$2:$C$7,3,FALSE)</f>
        <v/>
      </c>
    </row>
    <row r="10">
      <c r="A10" s="3" t="inlineStr">
        <is>
          <t>Delhi NCR</t>
        </is>
      </c>
      <c r="B10" s="3" t="inlineStr">
        <is>
          <t>AC Repair &amp; Service</t>
        </is>
      </c>
      <c r="C10" s="3" t="n">
        <v>14</v>
      </c>
      <c r="D10" s="4" t="n">
        <v>22760</v>
      </c>
      <c r="E10" s="3" t="n">
        <v>0</v>
      </c>
      <c r="F10" s="3">
        <f>VLOOKUP(B10,'Category Reference'!$A$2:$C$7,2,FALSE)</f>
        <v/>
      </c>
      <c r="G10" s="3">
        <f>VLOOKUP(B10,'Category Reference'!$A$2:$C$7,3,FALSE)</f>
        <v/>
      </c>
    </row>
    <row r="11">
      <c r="A11" s="3" t="inlineStr">
        <is>
          <t>Delhi NCR</t>
        </is>
      </c>
      <c r="B11" s="3" t="inlineStr">
        <is>
          <t>Deep Home Cleaning</t>
        </is>
      </c>
      <c r="C11" s="3" t="n">
        <v>25</v>
      </c>
      <c r="D11" s="4" t="n">
        <v>63041</v>
      </c>
      <c r="E11" s="3" t="n">
        <v>0</v>
      </c>
      <c r="F11" s="3">
        <f>VLOOKUP(B11,'Category Reference'!$A$2:$C$7,2,FALSE)</f>
        <v/>
      </c>
      <c r="G11" s="3">
        <f>VLOOKUP(B11,'Category Reference'!$A$2:$C$7,3,FALSE)</f>
        <v/>
      </c>
    </row>
    <row r="12">
      <c r="A12" s="3" t="inlineStr">
        <is>
          <t>Delhi NCR</t>
        </is>
      </c>
      <c r="B12" s="3" t="inlineStr">
        <is>
          <t>Electrical Repair</t>
        </is>
      </c>
      <c r="C12" s="3" t="n">
        <v>12</v>
      </c>
      <c r="D12" s="4" t="n">
        <v>12585</v>
      </c>
      <c r="E12" s="3" t="n">
        <v>1</v>
      </c>
      <c r="F12" s="3">
        <f>VLOOKUP(B12,'Category Reference'!$A$2:$C$7,2,FALSE)</f>
        <v/>
      </c>
      <c r="G12" s="3">
        <f>VLOOKUP(B12,'Category Reference'!$A$2:$C$7,3,FALSE)</f>
        <v/>
      </c>
    </row>
    <row r="13">
      <c r="A13" s="3" t="inlineStr">
        <is>
          <t>Delhi NCR</t>
        </is>
      </c>
      <c r="B13" s="3" t="inlineStr">
        <is>
          <t>Plumbing</t>
        </is>
      </c>
      <c r="C13" s="3" t="n">
        <v>19</v>
      </c>
      <c r="D13" s="4" t="n">
        <v>16065</v>
      </c>
      <c r="E13" s="3" t="n">
        <v>3</v>
      </c>
      <c r="F13" s="3">
        <f>VLOOKUP(B13,'Category Reference'!$A$2:$C$7,2,FALSE)</f>
        <v/>
      </c>
      <c r="G13" s="3">
        <f>VLOOKUP(B13,'Category Reference'!$A$2:$C$7,3,FALSE)</f>
        <v/>
      </c>
    </row>
    <row r="14">
      <c r="A14" s="3" t="inlineStr">
        <is>
          <t>Delhi NCR</t>
        </is>
      </c>
      <c r="B14" s="3" t="inlineStr">
        <is>
          <t>Salon for Women</t>
        </is>
      </c>
      <c r="C14" s="3" t="n">
        <v>13</v>
      </c>
      <c r="D14" s="4" t="n">
        <v>26320</v>
      </c>
      <c r="E14" s="3" t="n">
        <v>2</v>
      </c>
      <c r="F14" s="3">
        <f>VLOOKUP(B14,'Category Reference'!$A$2:$C$7,2,FALSE)</f>
        <v/>
      </c>
      <c r="G14" s="3">
        <f>VLOOKUP(B14,'Category Reference'!$A$2:$C$7,3,FALSE)</f>
        <v/>
      </c>
    </row>
    <row r="15">
      <c r="A15" s="3" t="inlineStr">
        <is>
          <t>Hyderabad</t>
        </is>
      </c>
      <c r="B15" s="3" t="inlineStr">
        <is>
          <t>Deep Home Cleaning</t>
        </is>
      </c>
      <c r="C15" s="3" t="n">
        <v>29</v>
      </c>
      <c r="D15" s="4" t="n">
        <v>91425</v>
      </c>
      <c r="E15" s="3" t="n">
        <v>4</v>
      </c>
      <c r="F15" s="3">
        <f>VLOOKUP(B15,'Category Reference'!$A$2:$C$7,2,FALSE)</f>
        <v/>
      </c>
      <c r="G15" s="3">
        <f>VLOOKUP(B15,'Category Reference'!$A$2:$C$7,3,FALSE)</f>
        <v/>
      </c>
    </row>
    <row r="16">
      <c r="A16" s="3" t="inlineStr">
        <is>
          <t>Hyderabad</t>
        </is>
      </c>
      <c r="B16" s="3" t="inlineStr">
        <is>
          <t>Electrical Repair</t>
        </is>
      </c>
      <c r="C16" s="3" t="n">
        <v>27</v>
      </c>
      <c r="D16" s="4" t="n">
        <v>29032</v>
      </c>
      <c r="E16" s="3" t="n">
        <v>3</v>
      </c>
      <c r="F16" s="3">
        <f>VLOOKUP(B16,'Category Reference'!$A$2:$C$7,2,FALSE)</f>
        <v/>
      </c>
      <c r="G16" s="3">
        <f>VLOOKUP(B16,'Category Reference'!$A$2:$C$7,3,FALSE)</f>
        <v/>
      </c>
    </row>
    <row r="17">
      <c r="A17" s="3" t="inlineStr">
        <is>
          <t>Hyderabad</t>
        </is>
      </c>
      <c r="B17" s="3" t="inlineStr">
        <is>
          <t>Plumbing</t>
        </is>
      </c>
      <c r="C17" s="3" t="n">
        <v>13</v>
      </c>
      <c r="D17" s="4" t="n">
        <v>11743</v>
      </c>
      <c r="E17" s="3" t="n">
        <v>1</v>
      </c>
      <c r="F17" s="3">
        <f>VLOOKUP(B17,'Category Reference'!$A$2:$C$7,2,FALSE)</f>
        <v/>
      </c>
      <c r="G17" s="3">
        <f>VLOOKUP(B17,'Category Reference'!$A$2:$C$7,3,FALSE)</f>
        <v/>
      </c>
    </row>
    <row r="18">
      <c r="A18" s="3" t="inlineStr">
        <is>
          <t>Hyderabad</t>
        </is>
      </c>
      <c r="B18" s="3" t="inlineStr">
        <is>
          <t>Salon for Men</t>
        </is>
      </c>
      <c r="C18" s="3" t="n">
        <v>23</v>
      </c>
      <c r="D18" s="4" t="n">
        <v>22289</v>
      </c>
      <c r="E18" s="3" t="n">
        <v>5</v>
      </c>
      <c r="F18" s="3">
        <f>VLOOKUP(B18,'Category Reference'!$A$2:$C$7,2,FALSE)</f>
        <v/>
      </c>
      <c r="G18" s="3">
        <f>VLOOKUP(B18,'Category Reference'!$A$2:$C$7,3,FALSE)</f>
        <v/>
      </c>
    </row>
    <row r="19">
      <c r="A19" s="3" t="inlineStr">
        <is>
          <t>Hyderabad</t>
        </is>
      </c>
      <c r="B19" s="3" t="inlineStr">
        <is>
          <t>Salon for Women</t>
        </is>
      </c>
      <c r="C19" s="3" t="n">
        <v>6</v>
      </c>
      <c r="D19" s="4" t="n">
        <v>17149</v>
      </c>
      <c r="E19" s="3" t="n">
        <v>1</v>
      </c>
      <c r="F19" s="3">
        <f>VLOOKUP(B19,'Category Reference'!$A$2:$C$7,2,FALSE)</f>
        <v/>
      </c>
      <c r="G19" s="3">
        <f>VLOOKUP(B19,'Category Reference'!$A$2:$C$7,3,FALSE)</f>
        <v/>
      </c>
    </row>
    <row r="20">
      <c r="A20" s="3" t="inlineStr">
        <is>
          <t>Mumbai</t>
        </is>
      </c>
      <c r="B20" s="3" t="inlineStr">
        <is>
          <t>AC Repair &amp; Service</t>
        </is>
      </c>
      <c r="C20" s="3" t="n">
        <v>20</v>
      </c>
      <c r="D20" s="4" t="n">
        <v>29050</v>
      </c>
      <c r="E20" s="3" t="n">
        <v>4</v>
      </c>
      <c r="F20" s="3">
        <f>VLOOKUP(B20,'Category Reference'!$A$2:$C$7,2,FALSE)</f>
        <v/>
      </c>
      <c r="G20" s="3">
        <f>VLOOKUP(B20,'Category Reference'!$A$2:$C$7,3,FALSE)</f>
        <v/>
      </c>
    </row>
    <row r="21">
      <c r="A21" s="3" t="inlineStr">
        <is>
          <t>Mumbai</t>
        </is>
      </c>
      <c r="B21" s="3" t="inlineStr">
        <is>
          <t>Deep Home Cleaning</t>
        </is>
      </c>
      <c r="C21" s="3" t="n">
        <v>28</v>
      </c>
      <c r="D21" s="4" t="n">
        <v>73938</v>
      </c>
      <c r="E21" s="3" t="n">
        <v>1</v>
      </c>
      <c r="F21" s="3">
        <f>VLOOKUP(B21,'Category Reference'!$A$2:$C$7,2,FALSE)</f>
        <v/>
      </c>
      <c r="G21" s="3">
        <f>VLOOKUP(B21,'Category Reference'!$A$2:$C$7,3,FALSE)</f>
        <v/>
      </c>
    </row>
    <row r="22">
      <c r="A22" s="3" t="inlineStr">
        <is>
          <t>Mumbai</t>
        </is>
      </c>
      <c r="B22" s="3" t="inlineStr">
        <is>
          <t>Electrical Repair</t>
        </is>
      </c>
      <c r="C22" s="3" t="n">
        <v>11</v>
      </c>
      <c r="D22" s="4" t="n">
        <v>11360</v>
      </c>
      <c r="E22" s="3" t="n">
        <v>2</v>
      </c>
      <c r="F22" s="3">
        <f>VLOOKUP(B22,'Category Reference'!$A$2:$C$7,2,FALSE)</f>
        <v/>
      </c>
      <c r="G22" s="3">
        <f>VLOOKUP(B22,'Category Reference'!$A$2:$C$7,3,FALSE)</f>
        <v/>
      </c>
    </row>
    <row r="23">
      <c r="A23" s="3" t="inlineStr">
        <is>
          <t>Mumbai</t>
        </is>
      </c>
      <c r="B23" s="3" t="inlineStr">
        <is>
          <t>Salon for Men</t>
        </is>
      </c>
      <c r="C23" s="3" t="n">
        <v>27</v>
      </c>
      <c r="D23" s="4" t="n">
        <v>23901</v>
      </c>
      <c r="E23" s="3" t="n">
        <v>5</v>
      </c>
      <c r="F23" s="3">
        <f>VLOOKUP(B23,'Category Reference'!$A$2:$C$7,2,FALSE)</f>
        <v/>
      </c>
      <c r="G23" s="3">
        <f>VLOOKUP(B23,'Category Reference'!$A$2:$C$7,3,FALSE)</f>
        <v/>
      </c>
    </row>
    <row r="24">
      <c r="A24" s="3" t="inlineStr">
        <is>
          <t>Mumbai</t>
        </is>
      </c>
      <c r="B24" s="3" t="inlineStr">
        <is>
          <t>Salon for Women</t>
        </is>
      </c>
      <c r="C24" s="3" t="n">
        <v>6</v>
      </c>
      <c r="D24" s="4" t="n">
        <v>13181</v>
      </c>
      <c r="E24" s="3" t="n">
        <v>1</v>
      </c>
      <c r="F24" s="3">
        <f>VLOOKUP(B24,'Category Reference'!$A$2:$C$7,2,FALSE)</f>
        <v/>
      </c>
      <c r="G24" s="3">
        <f>VLOOKUP(B24,'Category Reference'!$A$2:$C$7,3,FALSE)</f>
        <v/>
      </c>
    </row>
    <row r="25">
      <c r="A25" s="3" t="inlineStr">
        <is>
          <t>Pune</t>
        </is>
      </c>
      <c r="B25" s="3" t="inlineStr">
        <is>
          <t>Deep Home Cleaning</t>
        </is>
      </c>
      <c r="C25" s="3" t="n">
        <v>39</v>
      </c>
      <c r="D25" s="4" t="n">
        <v>121469</v>
      </c>
      <c r="E25" s="3" t="n">
        <v>9</v>
      </c>
      <c r="F25" s="3">
        <f>VLOOKUP(B25,'Category Reference'!$A$2:$C$7,2,FALSE)</f>
        <v/>
      </c>
      <c r="G25" s="3">
        <f>VLOOKUP(B25,'Category Reference'!$A$2:$C$7,3,FALSE)</f>
        <v/>
      </c>
    </row>
    <row r="26">
      <c r="A26" s="3" t="inlineStr">
        <is>
          <t>Pune</t>
        </is>
      </c>
      <c r="B26" s="3" t="inlineStr">
        <is>
          <t>Electrical Repair</t>
        </is>
      </c>
      <c r="C26" s="3" t="n">
        <v>30</v>
      </c>
      <c r="D26" s="4" t="n">
        <v>30778</v>
      </c>
      <c r="E26" s="3" t="n">
        <v>3</v>
      </c>
      <c r="F26" s="3">
        <f>VLOOKUP(B26,'Category Reference'!$A$2:$C$7,2,FALSE)</f>
        <v/>
      </c>
      <c r="G26" s="3">
        <f>VLOOKUP(B26,'Category Reference'!$A$2:$C$7,3,FALSE)</f>
        <v/>
      </c>
    </row>
    <row r="27">
      <c r="A27" s="3" t="inlineStr">
        <is>
          <t>Pune</t>
        </is>
      </c>
      <c r="B27" s="3" t="inlineStr">
        <is>
          <t>Salon for Men</t>
        </is>
      </c>
      <c r="C27" s="3" t="n">
        <v>14</v>
      </c>
      <c r="D27" s="4" t="n">
        <v>13808</v>
      </c>
      <c r="E27" s="3" t="n">
        <v>1</v>
      </c>
      <c r="F27" s="3">
        <f>VLOOKUP(B27,'Category Reference'!$A$2:$C$7,2,FALSE)</f>
        <v/>
      </c>
      <c r="G27" s="3">
        <f>VLOOKUP(B27,'Category Reference'!$A$2:$C$7,3,FALSE)</f>
        <v/>
      </c>
    </row>
    <row r="28">
      <c r="A28" s="3" t="inlineStr">
        <is>
          <t>Pune</t>
        </is>
      </c>
      <c r="B28" s="3" t="inlineStr">
        <is>
          <t>Salon for Women</t>
        </is>
      </c>
      <c r="C28" s="3" t="n">
        <v>24</v>
      </c>
      <c r="D28" s="4" t="n">
        <v>62672</v>
      </c>
      <c r="E28" s="3" t="n">
        <v>1</v>
      </c>
      <c r="F28" s="3">
        <f>VLOOKUP(B28,'Category Reference'!$A$2:$C$7,2,FALSE)</f>
        <v/>
      </c>
      <c r="G28" s="3">
        <f>VLOOKUP(B28,'Category Reference'!$A$2:$C$7,3,FALSE)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5" t="inlineStr">
        <is>
          <t>category</t>
        </is>
      </c>
      <c r="B1" s="5" t="inlineStr">
        <is>
          <t>min_price_inr</t>
        </is>
      </c>
      <c r="C1" s="5" t="inlineStr">
        <is>
          <t>max_price_inr</t>
        </is>
      </c>
    </row>
    <row r="2">
      <c r="A2" s="6" t="inlineStr">
        <is>
          <t>AC Repair &amp; Service</t>
        </is>
      </c>
      <c r="B2" s="6" t="n">
        <v>499</v>
      </c>
      <c r="C2" s="6" t="n">
        <v>2499</v>
      </c>
    </row>
    <row r="3">
      <c r="A3" s="6" t="inlineStr">
        <is>
          <t>Salon for Women</t>
        </is>
      </c>
      <c r="B3" s="6" t="n">
        <v>699</v>
      </c>
      <c r="C3" s="6" t="n">
        <v>3499</v>
      </c>
    </row>
    <row r="4">
      <c r="A4" s="6" t="inlineStr">
        <is>
          <t>Salon for Men</t>
        </is>
      </c>
      <c r="B4" s="6" t="n">
        <v>349</v>
      </c>
      <c r="C4" s="6" t="n">
        <v>1499</v>
      </c>
    </row>
    <row r="5">
      <c r="A5" s="6" t="inlineStr">
        <is>
          <t>Deep Home Cleaning</t>
        </is>
      </c>
      <c r="B5" s="6" t="n">
        <v>999</v>
      </c>
      <c r="C5" s="6" t="n">
        <v>4999</v>
      </c>
    </row>
    <row r="6">
      <c r="A6" s="6" t="inlineStr">
        <is>
          <t>Plumbing</t>
        </is>
      </c>
      <c r="B6" s="6" t="n">
        <v>199</v>
      </c>
      <c r="C6" s="6" t="n">
        <v>1499</v>
      </c>
    </row>
    <row r="7">
      <c r="A7" s="6" t="inlineStr">
        <is>
          <t>Electrical Repair</t>
        </is>
      </c>
      <c r="B7" s="6" t="n">
        <v>199</v>
      </c>
      <c r="C7" s="6" t="n">
        <v>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Pivot: rows = city, columns = category, values = SUM of revenue_inr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30" customWidth="1" min="4" max="4"/>
    <col width="24" customWidth="1" min="5" max="5"/>
    <col width="28" customWidth="1" min="6" max="6"/>
  </cols>
  <sheetData>
    <row r="1" ht="32" customHeight="1">
      <c r="A1" s="8" t="inlineStr">
        <is>
          <t>City</t>
        </is>
      </c>
      <c r="B1" s="9" t="inlineStr">
        <is>
          <t>Total Revenue (INR)</t>
        </is>
      </c>
      <c r="C1" s="8" t="inlineStr">
        <is>
          <t>Total SLA Breaches</t>
        </is>
      </c>
      <c r="D1" s="8" t="inlineStr">
        <is>
          <t>City-Category Combinations</t>
        </is>
      </c>
      <c r="E1" s="9" t="inlineStr">
        <is>
          <t>Part A SQL Total (INR)</t>
        </is>
      </c>
      <c r="F1" s="8" t="inlineStr">
        <is>
          <t>Matches Part A SQL total?</t>
        </is>
      </c>
    </row>
    <row r="2">
      <c r="A2" s="6" t="inlineStr">
        <is>
          <t>Pune</t>
        </is>
      </c>
      <c r="B2" s="10">
        <f>SUMIFS('City-Category Data'!$D$2:$D$28,'City-Category Data'!$A$2:$A$28,A2)</f>
        <v/>
      </c>
      <c r="C2" s="6">
        <f>SUMIFS('City-Category Data'!$E$2:$E$28,'City-Category Data'!$A$2:$A$28,A2)</f>
        <v/>
      </c>
      <c r="D2" s="6">
        <f>COUNTIFS('City-Category Data'!$A$2:$A$28,A2)</f>
        <v/>
      </c>
      <c r="E2" s="10" t="n">
        <v>228727</v>
      </c>
      <c r="F2" s="6">
        <f>IF(B2=E2,"Yes","No")</f>
        <v/>
      </c>
    </row>
    <row r="3">
      <c r="A3" s="6" t="inlineStr">
        <is>
          <t>Bengaluru</t>
        </is>
      </c>
      <c r="B3" s="10">
        <f>SUMIFS('City-Category Data'!$D$2:$D$28,'City-Category Data'!$A$2:$A$28,A3)</f>
        <v/>
      </c>
      <c r="C3" s="6">
        <f>SUMIFS('City-Category Data'!$E$2:$E$28,'City-Category Data'!$A$2:$A$28,A3)</f>
        <v/>
      </c>
      <c r="D3" s="6">
        <f>COUNTIFS('City-Category Data'!$A$2:$A$28,A3)</f>
        <v/>
      </c>
      <c r="E3" s="10" t="n">
        <v>179835</v>
      </c>
      <c r="F3" s="6">
        <f>IF(B3=E3,"Yes","No")</f>
        <v/>
      </c>
    </row>
    <row r="4">
      <c r="A4" s="6" t="inlineStr">
        <is>
          <t>Chennai</t>
        </is>
      </c>
      <c r="B4" s="10">
        <f>SUMIFS('City-Category Data'!$D$2:$D$28,'City-Category Data'!$A$2:$A$28,A4)</f>
        <v/>
      </c>
      <c r="C4" s="6">
        <f>SUMIFS('City-Category Data'!$E$2:$E$28,'City-Category Data'!$A$2:$A$28,A4)</f>
        <v/>
      </c>
      <c r="D4" s="6">
        <f>COUNTIFS('City-Category Data'!$A$2:$A$28,A4)</f>
        <v/>
      </c>
      <c r="E4" s="10" t="n">
        <v>175572</v>
      </c>
      <c r="F4" s="6">
        <f>IF(B4=E4,"Yes","No")</f>
        <v/>
      </c>
    </row>
    <row r="5">
      <c r="A5" s="6" t="inlineStr">
        <is>
          <t>Hyderabad</t>
        </is>
      </c>
      <c r="B5" s="10">
        <f>SUMIFS('City-Category Data'!$D$2:$D$28,'City-Category Data'!$A$2:$A$28,A5)</f>
        <v/>
      </c>
      <c r="C5" s="6">
        <f>SUMIFS('City-Category Data'!$E$2:$E$28,'City-Category Data'!$A$2:$A$28,A5)</f>
        <v/>
      </c>
      <c r="D5" s="6">
        <f>COUNTIFS('City-Category Data'!$A$2:$A$28,A5)</f>
        <v/>
      </c>
      <c r="E5" s="10" t="n">
        <v>171638</v>
      </c>
      <c r="F5" s="6">
        <f>IF(B5=E5,"Yes","No")</f>
        <v/>
      </c>
    </row>
    <row r="6">
      <c r="A6" s="6" t="inlineStr">
        <is>
          <t>Mumbai</t>
        </is>
      </c>
      <c r="B6" s="10">
        <f>SUMIFS('City-Category Data'!$D$2:$D$28,'City-Category Data'!$A$2:$A$28,A6)</f>
        <v/>
      </c>
      <c r="C6" s="6">
        <f>SUMIFS('City-Category Data'!$E$2:$E$28,'City-Category Data'!$A$2:$A$28,A6)</f>
        <v/>
      </c>
      <c r="D6" s="6">
        <f>COUNTIFS('City-Category Data'!$A$2:$A$28,A6)</f>
        <v/>
      </c>
      <c r="E6" s="10" t="n">
        <v>151430</v>
      </c>
      <c r="F6" s="6">
        <f>IF(B6=E6,"Yes","No")</f>
        <v/>
      </c>
    </row>
    <row r="7">
      <c r="A7" s="6" t="inlineStr">
        <is>
          <t>Delhi NCR</t>
        </is>
      </c>
      <c r="B7" s="10">
        <f>SUMIFS('City-Category Data'!$D$2:$D$28,'City-Category Data'!$A$2:$A$28,A7)</f>
        <v/>
      </c>
      <c r="C7" s="6">
        <f>SUMIFS('City-Category Data'!$E$2:$E$28,'City-Category Data'!$A$2:$A$28,A7)</f>
        <v/>
      </c>
      <c r="D7" s="6">
        <f>COUNTIFS('City-Category Data'!$A$2:$A$28,A7)</f>
        <v/>
      </c>
      <c r="E7" s="10" t="n">
        <v>140771</v>
      </c>
      <c r="F7" s="6">
        <f>IF(B7=E7,"Yes","No")</f>
        <v/>
      </c>
    </row>
    <row r="8">
      <c r="A8" s="6" t="inlineStr">
        <is>
          <t>Network total</t>
        </is>
      </c>
      <c r="B8" s="10">
        <f>SUM(B2:B7)</f>
        <v/>
      </c>
      <c r="C8" s="6">
        <f>SUM(C2:C7)</f>
        <v/>
      </c>
      <c r="D8" s="6">
        <f>SUM(D2:D7)</f>
        <v/>
      </c>
      <c r="E8" s="10" t="n">
        <v>1047973</v>
      </c>
      <c r="F8" s="6">
        <f>IF(B8=E8,"Yes","No")</f>
        <v/>
      </c>
    </row>
    <row r="10">
      <c r="A10" t="inlineStr">
        <is>
          <t>Green marks the highest-revenue city. Amber marks the lowest-revenue city. Yes is written only when the SUMIFS revenue equals the Part A SQL total to the rupee.</t>
        </is>
      </c>
    </row>
  </sheetData>
  <mergeCells count="1">
    <mergeCell ref="A10:F10"/>
  </mergeCells>
  <conditionalFormatting sqref="B2:B7">
    <cfRule type="expression" priority="1" dxfId="0">
      <formula>B2=MAX($B$2:$B$7)</formula>
    </cfRule>
    <cfRule type="expression" priority="2" dxfId="1">
      <formula>B2=MIN($B$2:$B$7)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2026-10-02T09:26:58Z</dcterms:created>
  <dcterms:modified xsi:type="dcterms:W3CDTF">2026-10-02T09:27:54Z</dcterms:modified>
</cp:coreProperties>
</file>